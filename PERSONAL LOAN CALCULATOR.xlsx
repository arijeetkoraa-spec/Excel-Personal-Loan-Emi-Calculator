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/>
  <xr:revisionPtr revIDLastSave="0" documentId="13_ncr:1_{52AFD964-A725-4D59-BCCA-70F49C490E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culator" sheetId="4" r:id="rId1"/>
    <sheet name="CIC" sheetId="2" r:id="rId2"/>
    <sheet name="Ref Cell" sheetId="1" state="hidden" r:id="rId3"/>
  </sheets>
  <calcPr calcId="191029"/>
</workbook>
</file>

<file path=xl/calcChain.xml><?xml version="1.0" encoding="utf-8"?>
<calcChain xmlns="http://schemas.openxmlformats.org/spreadsheetml/2006/main">
  <c r="G8" i="4" l="1"/>
  <c r="L9" i="4"/>
  <c r="L14" i="4"/>
  <c r="C26" i="4"/>
  <c r="C25" i="4"/>
  <c r="C24" i="4"/>
  <c r="H8" i="4"/>
  <c r="R7" i="4"/>
  <c r="B14" i="4"/>
  <c r="B18" i="4"/>
  <c r="B17" i="4"/>
  <c r="B16" i="4"/>
  <c r="B15" i="4"/>
  <c r="B13" i="4"/>
  <c r="B12" i="4"/>
  <c r="B11" i="4"/>
  <c r="H12" i="2"/>
  <c r="I12" i="2" s="1"/>
  <c r="H11" i="2"/>
  <c r="I11" i="2" s="1"/>
  <c r="H10" i="2"/>
  <c r="I10" i="2" s="1"/>
  <c r="H9" i="2"/>
  <c r="I9" i="2" s="1"/>
  <c r="I8" i="2"/>
  <c r="H8" i="2"/>
  <c r="H7" i="2"/>
  <c r="I7" i="2" s="1"/>
  <c r="H6" i="2"/>
  <c r="I6" i="2" s="1"/>
  <c r="H5" i="2"/>
  <c r="I5" i="2" s="1"/>
  <c r="F24" i="4" l="1"/>
  <c r="I8" i="4" s="1"/>
  <c r="K7" i="4" s="1"/>
  <c r="H13" i="4" s="1"/>
  <c r="A22" i="1"/>
  <c r="B22" i="1"/>
  <c r="H12" i="4" l="1"/>
  <c r="H14" i="4" l="1"/>
  <c r="L8" i="4"/>
  <c r="C27" i="4" s="1"/>
  <c r="H15" i="4" l="1"/>
</calcChain>
</file>

<file path=xl/sharedStrings.xml><?xml version="1.0" encoding="utf-8"?>
<sst xmlns="http://schemas.openxmlformats.org/spreadsheetml/2006/main" count="95" uniqueCount="75">
  <si>
    <t>SALARIED WITH US</t>
  </si>
  <si>
    <t>SSK MSK</t>
  </si>
  <si>
    <t>OTHER</t>
  </si>
  <si>
    <t>SELECT</t>
  </si>
  <si>
    <t>SALARIED WITH OTHER</t>
  </si>
  <si>
    <t>APPLICATION</t>
  </si>
  <si>
    <t>SALARY SLIP FOR LAST 3 MONTHS</t>
  </si>
  <si>
    <t>KYC</t>
  </si>
  <si>
    <t>JOINING LETTER</t>
  </si>
  <si>
    <t>APPOINTMENT LETTER</t>
  </si>
  <si>
    <t>BANK STATEMENT FOR 12 MONTHS</t>
  </si>
  <si>
    <t>2 YEARS TRANSACTION WITH US</t>
  </si>
  <si>
    <t>ITR FOR 2 YEARS</t>
  </si>
  <si>
    <t>ITR/FORM 16 FOR 2 YEARS</t>
  </si>
  <si>
    <t>ITR FOR LAST ASSESMENT YEAR</t>
  </si>
  <si>
    <t>ITR FOR THIS ASSESMENT YEAR</t>
  </si>
  <si>
    <t>CIC Rules &amp; Rate Tables (Floating and Fixed)</t>
  </si>
  <si>
    <t>BorrowerType</t>
  </si>
  <si>
    <t>CIBIL</t>
  </si>
  <si>
    <t>CRIF</t>
  </si>
  <si>
    <t>EXPERIAN</t>
  </si>
  <si>
    <t>EQUIFAX</t>
  </si>
  <si>
    <t>REPO</t>
  </si>
  <si>
    <t>SPREAD</t>
  </si>
  <si>
    <t>FLOATING</t>
  </si>
  <si>
    <t>FIXED</t>
  </si>
  <si>
    <t>PERSONAL LOAN - Salaried Class - Drawing salary through accounts maintained with our Branches</t>
  </si>
  <si>
    <t>WBGB DEFENDER</t>
  </si>
  <si>
    <t>800-900</t>
  </si>
  <si>
    <t>755-900</t>
  </si>
  <si>
    <t>799-900</t>
  </si>
  <si>
    <t>834-900</t>
  </si>
  <si>
    <t>700-799</t>
  </si>
  <si>
    <t>703-754</t>
  </si>
  <si>
    <t>731-798</t>
  </si>
  <si>
    <t>783-833</t>
  </si>
  <si>
    <t>600-699</t>
  </si>
  <si>
    <t>554-702</t>
  </si>
  <si>
    <t>613-730</t>
  </si>
  <si>
    <t>602-782</t>
  </si>
  <si>
    <t>PERSONAL LOAN-
Salaried (Drawing Salary from Other Bank Accounts), Professional, Self-Employed Individuals, Business Persons</t>
  </si>
  <si>
    <t>PERSONAL LOAN EMI CALCULATOR</t>
  </si>
  <si>
    <t>For internal assessment purpose only</t>
  </si>
  <si>
    <t xml:space="preserve">GROSS Monthly Income </t>
  </si>
  <si>
    <t>START FROM HERE</t>
  </si>
  <si>
    <t>GROSS MONTHLY INCOME</t>
  </si>
  <si>
    <t>DEDUCTION IN SALARY</t>
  </si>
  <si>
    <t>OTHER LOAN EMI'S</t>
  </si>
  <si>
    <t>PERSONAL LOAN EMI</t>
  </si>
  <si>
    <t>Input Details (Editable Fields Only)</t>
  </si>
  <si>
    <t>MONTHLY INCOME-EXPENSE CHART</t>
  </si>
  <si>
    <t>Document Checklist</t>
  </si>
  <si>
    <t>Loan Outcome</t>
  </si>
  <si>
    <t>Gross Income Calculation (Non-Salaried Applicant)</t>
  </si>
  <si>
    <t>Borrower Category</t>
  </si>
  <si>
    <t>Gross Monthly Income</t>
  </si>
  <si>
    <t>Salary Deductions</t>
  </si>
  <si>
    <t>Existing EMI Obligations</t>
  </si>
  <si>
    <t>Requested Loan Tenure (Months)</t>
  </si>
  <si>
    <t>Rate of Interest (% p.a.)</t>
  </si>
  <si>
    <t>Maximum Permissible EMI</t>
  </si>
  <si>
    <t>Loan Eligibility Based on Net Income</t>
  </si>
  <si>
    <t>Eligible Loan Amount Based on Max Permissible EMI</t>
  </si>
  <si>
    <t>Sanctioned Loan Amount</t>
  </si>
  <si>
    <t>Monthly EMI</t>
  </si>
  <si>
    <t>Loan Tenure (Months)</t>
  </si>
  <si>
    <t xml:space="preserve">• Select Borrower Category before entering details  </t>
  </si>
  <si>
    <t>• Rate of Interest to be referred from CIC sheet (Best of two CIC scores)</t>
  </si>
  <si>
    <t>• Only non-yellow fields are editable in Input Details tab</t>
  </si>
  <si>
    <t>Fees (Non-refundable)</t>
  </si>
  <si>
    <t>1% upfront fee +GST</t>
  </si>
  <si>
    <t>Documentation Charge</t>
  </si>
  <si>
    <t>CIC Charge</t>
  </si>
  <si>
    <t>Total Fees</t>
  </si>
  <si>
    <t>Made by Arijeet Koraa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</si>
</sst>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₹&quot;\ #,##0.00"/>
    <numFmt numFmtId="165" formatCode="_ [$₹-4009]\ * #,##0.00_ ;_ [$₹-4009]\ * \-#,##0.00_ ;_ [$₹-4009]\ * &quot;-&quot;??_ ;_ @_ "/>
  </numFmts>
  <fonts count="26" x14ac:knownFonts="1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sz val="11"/>
      <color rgb="FFFFFFFF"/>
      <name val="Calibri"/>
      <family val="2"/>
    </font>
    <font>
      <sz val="10"/>
      <color theme="1"/>
      <name val="Century Gothic"/>
      <family val="2"/>
      <scheme val="minor"/>
    </font>
    <font>
      <b/>
      <sz val="11"/>
      <color theme="4" tint="-0.499984740745262"/>
      <name val="Century Gothic"/>
      <family val="2"/>
      <scheme val="minor"/>
    </font>
    <font>
      <b/>
      <sz val="10"/>
      <color theme="4" tint="-0.499984740745262"/>
      <name val="Century Gothic"/>
      <family val="2"/>
      <scheme val="minor"/>
    </font>
    <font>
      <sz val="10.5"/>
      <color theme="1"/>
      <name val="Century Gothic"/>
      <family val="2"/>
      <scheme val="minor"/>
    </font>
    <font>
      <b/>
      <sz val="10.5"/>
      <color theme="1"/>
      <name val="Century Gothic"/>
      <family val="2"/>
      <scheme val="minor"/>
    </font>
    <font>
      <b/>
      <sz val="18"/>
      <color theme="0"/>
      <name val="Century Gothic"/>
      <family val="2"/>
      <scheme val="minor"/>
    </font>
    <font>
      <b/>
      <sz val="10"/>
      <color theme="0"/>
      <name val="Century Gothic"/>
      <family val="2"/>
      <scheme val="minor"/>
    </font>
    <font>
      <b/>
      <sz val="14"/>
      <color theme="1"/>
      <name val="Century Gothic"/>
      <family val="2"/>
      <scheme val="minor"/>
    </font>
    <font>
      <sz val="10.5"/>
      <color theme="0"/>
      <name val="Century Gothic"/>
      <family val="2"/>
      <scheme val="minor"/>
    </font>
    <font>
      <b/>
      <sz val="10.5"/>
      <color theme="0"/>
      <name val="Century Gothic"/>
      <family val="2"/>
      <scheme val="minor"/>
    </font>
    <font>
      <sz val="9"/>
      <color theme="1"/>
      <name val="Century Gothic"/>
      <family val="2"/>
      <scheme val="minor"/>
    </font>
    <font>
      <b/>
      <sz val="9"/>
      <color theme="0"/>
      <name val="Century Gothic"/>
      <family val="2"/>
      <scheme val="minor"/>
    </font>
    <font>
      <b/>
      <sz val="12"/>
      <color theme="1"/>
      <name val="Century Gothic"/>
      <family val="2"/>
      <scheme val="minor"/>
    </font>
    <font>
      <b/>
      <sz val="12"/>
      <color theme="0"/>
      <name val="Century Gothic"/>
      <family val="2"/>
      <scheme val="minor"/>
    </font>
    <font>
      <b/>
      <sz val="8"/>
      <color theme="0"/>
      <name val="Century Gothic"/>
      <family val="2"/>
      <scheme val="minor"/>
    </font>
    <font>
      <b/>
      <sz val="10"/>
      <color theme="1"/>
      <name val="Century Gothic"/>
      <family val="2"/>
      <scheme val="minor"/>
    </font>
    <font>
      <b/>
      <sz val="16"/>
      <color theme="3" tint="-0.499984740745262"/>
      <name val="Century Gothic"/>
      <family val="2"/>
      <scheme val="minor"/>
    </font>
    <font>
      <b/>
      <sz val="12"/>
      <color theme="0" tint="-4.9989318521683403E-2"/>
      <name val="Century Gothic"/>
      <family val="2"/>
      <scheme val="minor"/>
    </font>
    <font>
      <sz val="12"/>
      <color theme="1"/>
      <name val="Century Gothic"/>
      <family val="2"/>
      <scheme val="minor"/>
    </font>
    <font>
      <b/>
      <sz val="18"/>
      <color theme="1"/>
      <name val="Century Gothic"/>
      <family val="2"/>
      <scheme val="minor"/>
    </font>
    <font>
      <b/>
      <sz val="16"/>
      <color theme="0"/>
      <name val="Century Gothic"/>
      <family val="2"/>
      <scheme val="minor"/>
    </font>
    <font>
      <b/>
      <sz val="12"/>
      <color theme="4" tint="-0.499984740745262"/>
      <name val="Century Gothic"/>
      <family val="2"/>
      <scheme val="minor"/>
    </font>
    <font>
      <sz val="10.5"/>
      <color rgb="FFFF0000"/>
      <name val="Century Gothic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1F4E7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2" fontId="1" fillId="5" borderId="1" xfId="0" applyNumberFormat="1" applyFont="1" applyFill="1" applyBorder="1"/>
    <xf numFmtId="2" fontId="1" fillId="6" borderId="1" xfId="0" applyNumberFormat="1" applyFont="1" applyFill="1" applyBorder="1"/>
    <xf numFmtId="0" fontId="6" fillId="0" borderId="0" xfId="0" applyFont="1"/>
    <xf numFmtId="165" fontId="6" fillId="16" borderId="0" xfId="0" applyNumberFormat="1" applyFont="1" applyFill="1"/>
    <xf numFmtId="0" fontId="6" fillId="17" borderId="0" xfId="0" applyFont="1" applyFill="1"/>
    <xf numFmtId="164" fontId="0" fillId="0" borderId="0" xfId="0" applyNumberFormat="1"/>
    <xf numFmtId="0" fontId="6" fillId="18" borderId="6" xfId="0" applyFont="1" applyFill="1" applyBorder="1" applyAlignment="1">
      <alignment horizontal="left" vertical="center"/>
    </xf>
    <xf numFmtId="10" fontId="6" fillId="18" borderId="6" xfId="0" applyNumberFormat="1" applyFont="1" applyFill="1" applyBorder="1" applyAlignment="1">
      <alignment horizontal="left" vertical="center"/>
    </xf>
    <xf numFmtId="0" fontId="18" fillId="17" borderId="0" xfId="0" applyFont="1" applyFill="1"/>
    <xf numFmtId="0" fontId="11" fillId="0" borderId="0" xfId="0" applyFont="1"/>
    <xf numFmtId="165" fontId="11" fillId="0" borderId="0" xfId="0" applyNumberFormat="1" applyFont="1"/>
    <xf numFmtId="0" fontId="21" fillId="17" borderId="0" xfId="0" applyFont="1" applyFill="1"/>
    <xf numFmtId="0" fontId="15" fillId="17" borderId="0" xfId="0" applyFont="1" applyFill="1"/>
    <xf numFmtId="0" fontId="6" fillId="18" borderId="0" xfId="0" applyFont="1" applyFill="1"/>
    <xf numFmtId="0" fontId="17" fillId="18" borderId="0" xfId="0" applyFont="1" applyFill="1" applyAlignment="1">
      <alignment horizontal="center" vertical="center" wrapText="1"/>
    </xf>
    <xf numFmtId="165" fontId="3" fillId="18" borderId="0" xfId="0" applyNumberFormat="1" applyFont="1" applyFill="1"/>
    <xf numFmtId="165" fontId="13" fillId="18" borderId="0" xfId="0" applyNumberFormat="1" applyFont="1" applyFill="1"/>
    <xf numFmtId="165" fontId="6" fillId="18" borderId="0" xfId="0" applyNumberFormat="1" applyFont="1" applyFill="1"/>
    <xf numFmtId="0" fontId="5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15" fillId="16" borderId="0" xfId="0" applyFont="1" applyFill="1" applyAlignment="1">
      <alignment horizontal="center" vertical="center"/>
    </xf>
    <xf numFmtId="0" fontId="18" fillId="19" borderId="0" xfId="0" applyFont="1" applyFill="1" applyAlignment="1">
      <alignment horizontal="center" vertical="center" wrapText="1"/>
    </xf>
    <xf numFmtId="0" fontId="14" fillId="20" borderId="0" xfId="0" applyFont="1" applyFill="1" applyAlignment="1">
      <alignment horizontal="center" vertical="center" wrapText="1"/>
    </xf>
    <xf numFmtId="0" fontId="6" fillId="0" borderId="0" xfId="0" applyFont="1" applyProtection="1">
      <protection locked="0"/>
    </xf>
    <xf numFmtId="165" fontId="3" fillId="18" borderId="5" xfId="0" applyNumberFormat="1" applyFont="1" applyFill="1" applyBorder="1" applyAlignment="1">
      <alignment horizontal="left" vertical="center"/>
    </xf>
    <xf numFmtId="165" fontId="3" fillId="18" borderId="6" xfId="0" applyNumberFormat="1" applyFont="1" applyFill="1" applyBorder="1" applyAlignment="1">
      <alignment horizontal="left" vertical="center"/>
    </xf>
    <xf numFmtId="0" fontId="18" fillId="22" borderId="1" xfId="0" applyFont="1" applyFill="1" applyBorder="1"/>
    <xf numFmtId="165" fontId="18" fillId="22" borderId="1" xfId="0" applyNumberFormat="1" applyFont="1" applyFill="1" applyBorder="1"/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9" fillId="21" borderId="0" xfId="0" applyFont="1" applyFill="1" applyAlignment="1">
      <alignment horizontal="center" vertical="center" wrapText="1"/>
    </xf>
    <xf numFmtId="165" fontId="3" fillId="23" borderId="0" xfId="0" applyNumberFormat="1" applyFont="1" applyFill="1"/>
    <xf numFmtId="165" fontId="13" fillId="23" borderId="0" xfId="0" applyNumberFormat="1" applyFont="1" applyFill="1"/>
    <xf numFmtId="165" fontId="6" fillId="5" borderId="1" xfId="0" applyNumberFormat="1" applyFont="1" applyFill="1" applyBorder="1" applyProtection="1">
      <protection locked="0" hidden="1"/>
    </xf>
    <xf numFmtId="165" fontId="6" fillId="5" borderId="1" xfId="0" applyNumberFormat="1" applyFont="1" applyFill="1" applyBorder="1" applyProtection="1">
      <protection hidden="1"/>
    </xf>
    <xf numFmtId="0" fontId="6" fillId="5" borderId="1" xfId="0" applyFont="1" applyFill="1" applyBorder="1" applyProtection="1">
      <protection hidden="1"/>
    </xf>
    <xf numFmtId="165" fontId="1" fillId="11" borderId="0" xfId="0" applyNumberFormat="1" applyFont="1" applyFill="1" applyAlignment="1" applyProtection="1">
      <alignment horizontal="center" vertical="center"/>
      <protection hidden="1"/>
    </xf>
    <xf numFmtId="0" fontId="1" fillId="9" borderId="0" xfId="0" applyFont="1" applyFill="1" applyAlignment="1" applyProtection="1">
      <alignment horizontal="center" vertical="center"/>
      <protection hidden="1"/>
    </xf>
    <xf numFmtId="165" fontId="7" fillId="2" borderId="5" xfId="0" applyNumberFormat="1" applyFont="1" applyFill="1" applyBorder="1" applyAlignment="1" applyProtection="1">
      <alignment horizontal="right" vertical="center"/>
      <protection hidden="1"/>
    </xf>
    <xf numFmtId="165" fontId="7" fillId="2" borderId="6" xfId="0" applyNumberFormat="1" applyFont="1" applyFill="1" applyBorder="1" applyAlignment="1" applyProtection="1">
      <alignment horizontal="right" vertical="center"/>
      <protection hidden="1"/>
    </xf>
    <xf numFmtId="0" fontId="12" fillId="15" borderId="0" xfId="0" applyFont="1" applyFill="1" applyAlignment="1">
      <alignment horizontal="center" vertical="center"/>
    </xf>
    <xf numFmtId="0" fontId="25" fillId="17" borderId="0" xfId="0" applyFont="1" applyFill="1" applyAlignment="1">
      <alignment horizontal="left"/>
    </xf>
    <xf numFmtId="0" fontId="10" fillId="14" borderId="0" xfId="0" applyFont="1" applyFill="1" applyAlignment="1">
      <alignment horizontal="center" vertical="center" wrapText="1"/>
    </xf>
    <xf numFmtId="0" fontId="15" fillId="11" borderId="0" xfId="0" applyFont="1" applyFill="1" applyAlignment="1">
      <alignment horizontal="center" vertical="center" wrapText="1"/>
    </xf>
    <xf numFmtId="0" fontId="12" fillId="18" borderId="0" xfId="0" applyFont="1" applyFill="1" applyAlignment="1">
      <alignment horizontal="center" wrapText="1"/>
    </xf>
    <xf numFmtId="0" fontId="23" fillId="13" borderId="4" xfId="0" applyFont="1" applyFill="1" applyBorder="1" applyAlignment="1">
      <alignment horizontal="center" vertical="center" wrapText="1"/>
    </xf>
    <xf numFmtId="0" fontId="23" fillId="13" borderId="2" xfId="0" applyFont="1" applyFill="1" applyBorder="1" applyAlignment="1">
      <alignment horizontal="center" vertical="center" wrapText="1"/>
    </xf>
    <xf numFmtId="0" fontId="23" fillId="13" borderId="3" xfId="0" applyFont="1" applyFill="1" applyBorder="1" applyAlignment="1">
      <alignment horizontal="center" vertical="center" wrapText="1"/>
    </xf>
    <xf numFmtId="0" fontId="23" fillId="13" borderId="0" xfId="0" applyFont="1" applyFill="1" applyAlignment="1">
      <alignment horizontal="center" vertical="center" wrapText="1"/>
    </xf>
    <xf numFmtId="0" fontId="23" fillId="13" borderId="5" xfId="0" applyFont="1" applyFill="1" applyBorder="1" applyAlignment="1">
      <alignment horizontal="center" vertical="center" wrapText="1"/>
    </xf>
    <xf numFmtId="0" fontId="10" fillId="9" borderId="0" xfId="0" applyFont="1" applyFill="1" applyAlignment="1">
      <alignment horizontal="center" vertical="center"/>
    </xf>
    <xf numFmtId="0" fontId="12" fillId="21" borderId="0" xfId="0" applyFont="1" applyFill="1" applyAlignment="1">
      <alignment horizontal="center"/>
    </xf>
    <xf numFmtId="0" fontId="12" fillId="21" borderId="5" xfId="0" applyFont="1" applyFill="1" applyBorder="1" applyAlignment="1">
      <alignment horizontal="center"/>
    </xf>
    <xf numFmtId="0" fontId="10" fillId="14" borderId="0" xfId="0" applyFont="1" applyFill="1" applyAlignment="1">
      <alignment horizontal="center" vertical="center"/>
    </xf>
    <xf numFmtId="0" fontId="6" fillId="17" borderId="0" xfId="0" applyFont="1" applyFill="1" applyAlignment="1">
      <alignment horizontal="center"/>
    </xf>
    <xf numFmtId="0" fontId="8" fillId="7" borderId="0" xfId="0" applyFont="1" applyFill="1" applyAlignment="1">
      <alignment horizontal="center" vertical="center"/>
    </xf>
    <xf numFmtId="0" fontId="20" fillId="7" borderId="0" xfId="0" applyFont="1" applyFill="1" applyAlignment="1">
      <alignment horizontal="center"/>
    </xf>
    <xf numFmtId="165" fontId="22" fillId="12" borderId="0" xfId="0" applyNumberFormat="1" applyFont="1" applyFill="1" applyAlignment="1" applyProtection="1">
      <alignment horizontal="center" vertical="center" wrapText="1"/>
      <protection hidden="1"/>
    </xf>
    <xf numFmtId="0" fontId="19" fillId="8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979C32AE-B248-4051-80D1-A3341AE81FC1}"/>
  </tableStyles>
  <colors>
    <mruColors>
      <color rgb="FF66FF33"/>
      <color rgb="FF00FF00"/>
      <color rgb="FFFF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6000"/>
                      <a:lumMod val="104000"/>
                    </a:schemeClr>
                  </a:gs>
                  <a:gs pos="100000">
                    <a:schemeClr val="accent1">
                      <a:shade val="98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6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CFE-4475-AA46-14E08EA7C2D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6000"/>
                      <a:lumMod val="104000"/>
                    </a:schemeClr>
                  </a:gs>
                  <a:gs pos="100000">
                    <a:schemeClr val="accent2">
                      <a:shade val="98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6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CFE-4475-AA46-14E08EA7C2D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6000"/>
                      <a:lumMod val="104000"/>
                    </a:schemeClr>
                  </a:gs>
                  <a:gs pos="100000">
                    <a:schemeClr val="accent3">
                      <a:shade val="98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6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CFE-4475-AA46-14E08EA7C2D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6000"/>
                      <a:lumMod val="104000"/>
                    </a:schemeClr>
                  </a:gs>
                  <a:gs pos="100000">
                    <a:schemeClr val="accent4">
                      <a:shade val="98000"/>
                      <a:lumMod val="9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38100" dir="5400000" rotWithShape="0">
                  <a:srgbClr val="000000">
                    <a:alpha val="6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CFE-4475-AA46-14E08EA7C2D7}"/>
              </c:ext>
            </c:extLst>
          </c:dPt>
          <c:dLbls>
            <c:dLbl>
              <c:idx val="0"/>
              <c:layout>
                <c:manualLayout>
                  <c:x val="7.5213640793272939E-3"/>
                  <c:y val="-5.116281255812056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CFE-4475-AA46-14E08EA7C2D7}"/>
                </c:ext>
              </c:extLst>
            </c:dLbl>
            <c:dLbl>
              <c:idx val="1"/>
              <c:layout>
                <c:manualLayout>
                  <c:x val="-1.8803410198318236E-2"/>
                  <c:y val="7.932693558937380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CFE-4475-AA46-14E08EA7C2D7}"/>
                </c:ext>
              </c:extLst>
            </c:dLbl>
            <c:dLbl>
              <c:idx val="2"/>
              <c:layout>
                <c:manualLayout>
                  <c:x val="-8.5532715416753155E-2"/>
                  <c:y val="2.179373955710860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CFE-4475-AA46-14E08EA7C2D7}"/>
                </c:ext>
              </c:extLst>
            </c:dLbl>
            <c:dLbl>
              <c:idx val="3"/>
              <c:layout>
                <c:manualLayout>
                  <c:x val="-7.5213640793272939E-3"/>
                  <c:y val="2.558140627906024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CFE-4475-AA46-14E08EA7C2D7}"/>
                </c:ext>
              </c:extLst>
            </c:dLbl>
            <c:dLbl>
              <c:idx val="4"/>
              <c:layout>
                <c:manualLayout>
                  <c:x val="0.30706827592272185"/>
                  <c:y val="3.9642647076684433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CFE-4475-AA46-14E08EA7C2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Calculator!$B$24:$B$27</c:f>
              <c:strCache>
                <c:ptCount val="4"/>
                <c:pt idx="0">
                  <c:v>GROSS MONTHLY INCOME</c:v>
                </c:pt>
                <c:pt idx="1">
                  <c:v>DEDUCTION IN SALARY</c:v>
                </c:pt>
                <c:pt idx="2">
                  <c:v>OTHER LOAN EMI'S</c:v>
                </c:pt>
                <c:pt idx="3">
                  <c:v>PERSONAL LOAN EMI</c:v>
                </c:pt>
              </c:strCache>
            </c:strRef>
          </c:cat>
          <c:val>
            <c:numRef>
              <c:f>Calculator!$C$24:$C$27</c:f>
              <c:numCache>
                <c:formatCode>_ [$₹-4009]\ * #,##0.00_ ;_ [$₹-4009]\ * \-#,##0.00_ ;_ [$₹-4009]\ * "-"??_ ;_ @_ </c:formatCode>
                <c:ptCount val="4"/>
                <c:pt idx="0">
                  <c:v>96000</c:v>
                </c:pt>
                <c:pt idx="1">
                  <c:v>6520</c:v>
                </c:pt>
                <c:pt idx="2">
                  <c:v>12320</c:v>
                </c:pt>
                <c:pt idx="3">
                  <c:v>22042.843138587734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FE-4475-AA46-14E08EA7C2D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220979</xdr:colOff>
      <xdr:row>4</xdr:row>
      <xdr:rowOff>104603</xdr:rowOff>
    </xdr:from>
    <xdr:to>
      <xdr:col>8</xdr:col>
      <xdr:colOff>66501</xdr:colOff>
      <xdr:row>6</xdr:row>
      <xdr:rowOff>201585</xdr:rowOff>
    </xdr:to>
    <xdr:pic>
      <xdr:nvPicPr>
        <xdr:cNvPr id="4" name="Graphic 3" descr="Arrow Straight">
          <a:extLst>
            <a:ext uri="{FF2B5EF4-FFF2-40B4-BE49-F238E27FC236}">
              <a16:creationId xmlns:a16="http://schemas.microsoft.com/office/drawing/2014/main" id="{9CC6CB52-6738-51AF-ED86-8B7F75A53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55919" y="843743"/>
          <a:ext cx="912322" cy="660862"/>
        </a:xfrm>
        <a:prstGeom prst="rect">
          <a:avLst/>
        </a:prstGeom>
      </xdr:spPr>
    </xdr:pic>
    <xdr:clientData/>
  </xdr:twoCellAnchor>
  <xdr:twoCellAnchor>
    <xdr:from>
      <xdr:col>12</xdr:col>
      <xdr:colOff>34634</xdr:colOff>
      <xdr:row>3</xdr:row>
      <xdr:rowOff>173183</xdr:rowOff>
    </xdr:from>
    <xdr:to>
      <xdr:col>18</xdr:col>
      <xdr:colOff>151707</xdr:colOff>
      <xdr:row>12</xdr:row>
      <xdr:rowOff>242455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FC1BFA4-3073-A423-E739-0E0D2D7E09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601980</xdr:colOff>
      <xdr:row>16</xdr:row>
      <xdr:rowOff>76200</xdr:rowOff>
    </xdr:from>
    <xdr:to>
      <xdr:col>17</xdr:col>
      <xdr:colOff>396240</xdr:colOff>
      <xdr:row>18</xdr:row>
      <xdr:rowOff>152400</xdr:rowOff>
    </xdr:to>
    <xdr:sp macro="[0]!Print_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4AC53FEB-3B92-79A4-CBB6-5101E6D15F1E}"/>
            </a:ext>
          </a:extLst>
        </xdr:cNvPr>
        <xdr:cNvSpPr/>
      </xdr:nvSpPr>
      <xdr:spPr>
        <a:xfrm>
          <a:off x="9875520" y="4503420"/>
          <a:ext cx="2232660" cy="441960"/>
        </a:xfrm>
        <a:prstGeom prst="roundRect">
          <a:avLst/>
        </a:prstGeom>
        <a:solidFill>
          <a:schemeClr val="tx1"/>
        </a:solidFill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/>
            <a:t>Export PDF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8AFDB-2257-49E0-97B5-A2F18BEAC5BE}">
  <sheetPr codeName="Sheet1"/>
  <dimension ref="A1:V33"/>
  <sheetViews>
    <sheetView showGridLines="0" showRowColHeaders="0" tabSelected="1" showWhiteSpace="0" zoomScaleNormal="100" workbookViewId="0">
      <selection activeCell="H20" sqref="H20"/>
    </sheetView>
  </sheetViews>
  <sheetFormatPr defaultRowHeight="13.8" x14ac:dyDescent="0.25"/>
  <cols>
    <col min="1" max="1" width="2.69921875" style="6" customWidth="1"/>
    <col min="2" max="2" width="11.09765625" style="6" customWidth="1"/>
    <col min="3" max="3" width="10" style="6" customWidth="1"/>
    <col min="4" max="4" width="11.69921875" style="6" customWidth="1"/>
    <col min="5" max="5" width="10" style="6" customWidth="1"/>
    <col min="6" max="6" width="10.69921875" style="6" customWidth="1"/>
    <col min="7" max="7" width="12.5" style="6" customWidth="1"/>
    <col min="8" max="8" width="14" style="6" customWidth="1"/>
    <col min="9" max="9" width="17.5" style="6" customWidth="1"/>
    <col min="10" max="10" width="1.19921875" style="6" customWidth="1"/>
    <col min="11" max="11" width="15.5" style="6" customWidth="1"/>
    <col min="12" max="12" width="13.796875" style="6" customWidth="1"/>
    <col min="13" max="13" width="3" style="6" customWidth="1"/>
    <col min="14" max="18" width="8.796875" style="6"/>
    <col min="19" max="19" width="2.59765625" style="6" customWidth="1"/>
    <col min="20" max="16384" width="8.796875" style="6"/>
  </cols>
  <sheetData>
    <row r="1" spans="1:22" ht="18" customHeight="1" x14ac:dyDescent="0.25">
      <c r="A1" s="8"/>
      <c r="B1" s="60" t="s">
        <v>41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</row>
    <row r="2" spans="1:22" ht="18" customHeight="1" x14ac:dyDescent="0.25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</row>
    <row r="3" spans="1:22" ht="15" x14ac:dyDescent="0.25">
      <c r="A3" s="59"/>
      <c r="B3" s="61" t="s">
        <v>42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</row>
    <row r="4" spans="1:22" ht="7.2" customHeight="1" x14ac:dyDescent="0.25">
      <c r="A4" s="59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22" ht="22.2" customHeight="1" x14ac:dyDescent="0.25">
      <c r="A5" s="59"/>
      <c r="B5" s="63" t="s">
        <v>49</v>
      </c>
      <c r="C5" s="63"/>
      <c r="D5" s="63"/>
      <c r="E5" s="63"/>
      <c r="F5" s="63"/>
      <c r="G5" s="63"/>
      <c r="H5" s="63"/>
      <c r="I5" s="63"/>
      <c r="J5" s="59"/>
      <c r="K5" s="47" t="s">
        <v>52</v>
      </c>
      <c r="L5" s="47"/>
      <c r="M5" s="8"/>
      <c r="N5" s="8"/>
      <c r="O5" s="8"/>
      <c r="P5" s="8"/>
      <c r="Q5" s="8"/>
      <c r="R5" s="8"/>
      <c r="S5" s="8"/>
    </row>
    <row r="6" spans="1:22" ht="22.2" customHeight="1" x14ac:dyDescent="0.25">
      <c r="A6" s="59"/>
      <c r="B6" s="55" t="s">
        <v>54</v>
      </c>
      <c r="C6" s="55"/>
      <c r="D6" s="55"/>
      <c r="E6" s="55"/>
      <c r="F6" s="64" t="s">
        <v>4</v>
      </c>
      <c r="G6" s="64"/>
      <c r="H6" s="65" t="s">
        <v>44</v>
      </c>
      <c r="I6" s="65"/>
      <c r="J6" s="59"/>
      <c r="K6" s="48" t="s">
        <v>63</v>
      </c>
      <c r="L6" s="48"/>
      <c r="M6" s="8"/>
      <c r="N6" s="8"/>
      <c r="O6" s="8"/>
      <c r="P6" s="8"/>
      <c r="Q6" s="8"/>
      <c r="R6" s="8"/>
      <c r="S6" s="8"/>
    </row>
    <row r="7" spans="1:22" ht="64.2" customHeight="1" x14ac:dyDescent="0.25">
      <c r="A7" s="59"/>
      <c r="B7" s="24" t="s">
        <v>55</v>
      </c>
      <c r="C7" s="24" t="s">
        <v>56</v>
      </c>
      <c r="D7" s="24" t="s">
        <v>57</v>
      </c>
      <c r="E7" s="22" t="s">
        <v>58</v>
      </c>
      <c r="F7" s="24" t="s">
        <v>59</v>
      </c>
      <c r="G7" s="24" t="s">
        <v>60</v>
      </c>
      <c r="H7" s="24" t="s">
        <v>61</v>
      </c>
      <c r="I7" s="23" t="s">
        <v>62</v>
      </c>
      <c r="J7" s="59"/>
      <c r="K7" s="62">
        <f>MIN(Calculator!H8,Calculator!I8)</f>
        <v>1000000</v>
      </c>
      <c r="L7" s="62"/>
      <c r="M7" s="8"/>
      <c r="N7" s="8"/>
      <c r="O7" s="8"/>
      <c r="P7" s="8"/>
      <c r="Q7" s="8"/>
      <c r="R7" s="8">
        <f>B8-C8-D8</f>
        <v>77160</v>
      </c>
      <c r="S7" s="8"/>
      <c r="V7" s="28"/>
    </row>
    <row r="8" spans="1:22" ht="24" customHeight="1" x14ac:dyDescent="0.25">
      <c r="A8" s="59"/>
      <c r="B8" s="29">
        <v>96000</v>
      </c>
      <c r="C8" s="30">
        <v>6520</v>
      </c>
      <c r="D8" s="29">
        <v>12320</v>
      </c>
      <c r="E8" s="10">
        <v>60</v>
      </c>
      <c r="F8" s="11">
        <v>0.11600000000000001</v>
      </c>
      <c r="G8" s="43">
        <f>IF(B8&lt;=25000,((B8*50%)-C8-D8),IF(B8&lt;=40000,((B8*60%)-C8-D8),IF(B8&lt;=75000,((B8*65%)-C8-D8),IF(B8&gt;75000,((B8*70%)-C8-D8),""))))</f>
        <v>48360</v>
      </c>
      <c r="H8" s="44">
        <f>IF(F6='Ref Cell'!A3,,IF(Calculator!F6='Ref Cell'!A4,IF(Calculator!B8*30&gt;3000000,3000000,Calculator!B8*30),IF(Calculator!F6='Ref Cell'!A5,IF(Calculator!B8*15&gt;1000000,1000000,Calculator!B8*15),IF(Calculator!F6='Ref Cell'!A6,IF(Calculator!B8*18&gt;300000,300000,Calculator!B8*18),IF(Calculator!F6='Ref Cell'!A7,IF(Calculator!B8*12&gt;500000,500000,Calculator!B8*12),0)))))</f>
        <v>1000000</v>
      </c>
      <c r="I8" s="43">
        <f>IF(F6='Ref Cell'!A3,,IF(Calculator!F6='Ref Cell'!A4,IF(F24&gt;3000000,3000000,F24),IF(Calculator!F6='Ref Cell'!A5,IF(F24&gt;1000000,1000000,F24),IF(Calculator!F6='Ref Cell'!A6,IF(F24&gt;300000,300000,F24),IF(Calculator!F6='Ref Cell'!A7,IF(F24&gt;500000,500000,F24),0)))))</f>
        <v>1000000</v>
      </c>
      <c r="J8" s="59"/>
      <c r="K8" s="25" t="s">
        <v>64</v>
      </c>
      <c r="L8" s="41">
        <f>ABS(PMT(F8/12,E8,K7))</f>
        <v>22042.843138587734</v>
      </c>
      <c r="M8" s="8"/>
      <c r="N8" s="8"/>
      <c r="O8" s="8"/>
      <c r="P8" s="8"/>
      <c r="Q8" s="8"/>
      <c r="R8" s="8"/>
      <c r="S8" s="8"/>
    </row>
    <row r="9" spans="1:22" ht="21.6" customHeight="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26" t="s">
        <v>65</v>
      </c>
      <c r="L9" s="42">
        <f>IF(F6='Ref Cell'!A3,,IF(Calculator!F6='Ref Cell'!A4,84,IF(Calculator!F6='Ref Cell'!A5,84,IF(Calculator!F6='Ref Cell'!A6,84,60))))</f>
        <v>84</v>
      </c>
      <c r="M9" s="8"/>
      <c r="N9" s="8"/>
      <c r="O9" s="8"/>
      <c r="P9" s="8"/>
      <c r="Q9" s="8"/>
      <c r="R9" s="8"/>
      <c r="S9" s="8"/>
    </row>
    <row r="10" spans="1:22" ht="14.4" customHeight="1" x14ac:dyDescent="0.25">
      <c r="A10" s="8"/>
      <c r="B10" s="58" t="s">
        <v>51</v>
      </c>
      <c r="C10" s="58"/>
      <c r="D10" s="58"/>
      <c r="E10" s="5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22" ht="14.4" customHeight="1" x14ac:dyDescent="0.25">
      <c r="A11" s="8"/>
      <c r="B11" s="45" t="str">
        <f>IF(F6='Ref Cell'!A3," ",'Ref Cell'!B10)</f>
        <v>APPLICATION</v>
      </c>
      <c r="C11" s="45"/>
      <c r="D11" s="45"/>
      <c r="E11" s="45"/>
      <c r="F11" s="8"/>
      <c r="G11" s="56" t="s">
        <v>69</v>
      </c>
      <c r="H11" s="57"/>
      <c r="I11" s="50" t="s">
        <v>53</v>
      </c>
      <c r="J11" s="51"/>
      <c r="K11" s="51"/>
      <c r="L11" s="52"/>
      <c r="M11" s="8"/>
      <c r="N11" s="8"/>
      <c r="O11" s="8"/>
      <c r="P11" s="8"/>
      <c r="Q11" s="8"/>
      <c r="R11" s="8"/>
      <c r="S11" s="8"/>
    </row>
    <row r="12" spans="1:22" ht="31.8" customHeight="1" x14ac:dyDescent="0.25">
      <c r="A12" s="8"/>
      <c r="B12" s="45" t="str">
        <f>IF(Calculator!F6='Ref Cell'!A3," ",'Ref Cell'!B14)</f>
        <v>KYC</v>
      </c>
      <c r="C12" s="45"/>
      <c r="D12" s="45"/>
      <c r="E12" s="45"/>
      <c r="F12" s="8"/>
      <c r="G12" s="33" t="s">
        <v>70</v>
      </c>
      <c r="H12" s="38">
        <f>IF(AND(K7&gt;1000000, F6='Ref Cell'!A4), "",(K7*1.18%) )</f>
        <v>11800</v>
      </c>
      <c r="I12" s="53"/>
      <c r="J12" s="53"/>
      <c r="K12" s="53"/>
      <c r="L12" s="54"/>
      <c r="M12" s="8"/>
      <c r="N12" s="8"/>
      <c r="O12" s="8"/>
      <c r="P12" s="8"/>
      <c r="Q12" s="8"/>
      <c r="R12" s="8"/>
      <c r="S12" s="8"/>
    </row>
    <row r="13" spans="1:22" ht="24.6" customHeight="1" x14ac:dyDescent="0.25">
      <c r="A13" s="8"/>
      <c r="B13" s="45" t="str">
        <f>IF(F6='Ref Cell'!A3," ",'Ref Cell'!B17)</f>
        <v>BANK STATEMENT FOR 12 MONTHS</v>
      </c>
      <c r="C13" s="45"/>
      <c r="D13" s="45"/>
      <c r="E13" s="45"/>
      <c r="F13" s="8"/>
      <c r="G13" s="33" t="s">
        <v>71</v>
      </c>
      <c r="H13" s="39">
        <f>IF(AND(F6='Ref Cell'!A4, K7&gt;1000000), 0, IF(K7&lt;=200000, 270*1.18, 450*1.18) )</f>
        <v>531</v>
      </c>
      <c r="I13" s="27" t="s">
        <v>14</v>
      </c>
      <c r="J13" s="8"/>
      <c r="K13" s="27" t="s">
        <v>15</v>
      </c>
      <c r="L13" s="35" t="s">
        <v>43</v>
      </c>
      <c r="M13" s="8"/>
      <c r="N13" s="8"/>
      <c r="O13" s="8"/>
      <c r="P13" s="8"/>
      <c r="Q13" s="8"/>
      <c r="R13" s="8"/>
      <c r="S13" s="8"/>
    </row>
    <row r="14" spans="1:22" ht="20.399999999999999" customHeight="1" x14ac:dyDescent="0.3">
      <c r="A14" s="8"/>
      <c r="B14" s="45" t="str">
        <f>IF(F6='Ref Cell'!A3," ",(IF(Calculator!F6='Ref Cell'!A7,'Ref Cell'!B18," ")))</f>
        <v xml:space="preserve"> </v>
      </c>
      <c r="C14" s="45"/>
      <c r="D14" s="45"/>
      <c r="E14" s="45"/>
      <c r="F14" s="8"/>
      <c r="G14" s="34" t="s">
        <v>72</v>
      </c>
      <c r="H14" s="40">
        <f>IF(K7&gt;0,120," ")</f>
        <v>120</v>
      </c>
      <c r="I14" s="36"/>
      <c r="J14" s="8"/>
      <c r="K14" s="37"/>
      <c r="L14" s="7">
        <f>(I14+K14)/24</f>
        <v>0</v>
      </c>
      <c r="M14" s="8"/>
      <c r="N14" s="55" t="s">
        <v>50</v>
      </c>
      <c r="O14" s="55"/>
      <c r="P14" s="55"/>
      <c r="Q14" s="55"/>
      <c r="R14" s="55"/>
      <c r="S14" s="8"/>
    </row>
    <row r="15" spans="1:22" x14ac:dyDescent="0.25">
      <c r="A15" s="8"/>
      <c r="B15" s="45" t="str">
        <f>IF(F6='Ref Cell'!A3," ",(IF(Calculator!F6='Ref Cell'!A4,'Ref Cell'!B12,(IF(Calculator!F6='Ref Cell'!A5,'Ref Cell'!B12,(IF(Calculator!F6='Ref Cell'!A6,'Ref Cell'!B13,(IF(Calculator!F6='Ref Cell'!A7,'Ref Cell'!B13," ")))))))))</f>
        <v>ITR/FORM 16 FOR 2 YEARS</v>
      </c>
      <c r="C15" s="45"/>
      <c r="D15" s="45"/>
      <c r="E15" s="45"/>
      <c r="F15" s="8"/>
      <c r="G15" s="31" t="s">
        <v>73</v>
      </c>
      <c r="H15" s="32">
        <f>SUM(H12:H14)</f>
        <v>12451</v>
      </c>
      <c r="I15" s="8"/>
      <c r="J15" s="8"/>
      <c r="K15" s="8"/>
      <c r="L15" s="8"/>
      <c r="M15" s="8"/>
      <c r="N15" s="55"/>
      <c r="O15" s="55"/>
      <c r="P15" s="55"/>
      <c r="Q15" s="55"/>
      <c r="R15" s="55"/>
      <c r="S15" s="8"/>
    </row>
    <row r="16" spans="1:22" ht="15" x14ac:dyDescent="0.25">
      <c r="A16" s="8"/>
      <c r="B16" s="45" t="str">
        <f>IF(F6='Ref Cell'!A3," ",(IF(Calculator!F6='Ref Cell'!A4,'Ref Cell'!B15,(IF(Calculator!F6='Ref Cell'!A5,'Ref Cell'!B15," ")))))</f>
        <v>JOINING LETTER</v>
      </c>
      <c r="C16" s="45"/>
      <c r="D16" s="45"/>
      <c r="E16" s="45"/>
      <c r="F16" s="8"/>
      <c r="G16" s="16"/>
      <c r="H16" s="16"/>
      <c r="I16" s="15"/>
      <c r="J16" s="15"/>
      <c r="K16" s="15"/>
      <c r="L16" s="8"/>
      <c r="M16" s="8"/>
      <c r="N16" s="12"/>
      <c r="O16" s="12"/>
      <c r="P16" s="12"/>
      <c r="Q16" s="12"/>
      <c r="R16" s="12"/>
      <c r="S16" s="8"/>
    </row>
    <row r="17" spans="1:19" ht="15" x14ac:dyDescent="0.25">
      <c r="A17" s="8"/>
      <c r="B17" s="45" t="str">
        <f>IF(F6='Ref Cell'!A3," ",(IF(F6='Ref Cell'!A4,'Ref Cell'!B16,(IF(F6='Ref Cell'!A5,'Ref Cell'!B16," ")))))</f>
        <v>APPOINTMENT LETTER</v>
      </c>
      <c r="C17" s="45"/>
      <c r="D17" s="45"/>
      <c r="E17" s="45"/>
      <c r="F17" s="8"/>
      <c r="G17" s="16" t="s">
        <v>68</v>
      </c>
      <c r="H17" s="16"/>
      <c r="I17" s="15"/>
      <c r="J17" s="15"/>
      <c r="K17" s="15"/>
      <c r="L17" s="8"/>
      <c r="M17" s="8"/>
      <c r="N17" s="8"/>
      <c r="O17" s="8"/>
      <c r="P17" s="8"/>
      <c r="Q17" s="8"/>
      <c r="R17" s="8"/>
      <c r="S17" s="8"/>
    </row>
    <row r="18" spans="1:19" ht="15" x14ac:dyDescent="0.25">
      <c r="A18" s="8"/>
      <c r="B18" s="45" t="str">
        <f>IF(F6='Ref Cell'!A3," ",(IF(Calculator!F6='Ref Cell'!A4,'Ref Cell'!B11,(IF(Calculator!F6='Ref Cell'!A5,'Ref Cell'!B11,(IF(Calculator!F6='Ref Cell'!A6,"IF POSSIBLE PROVIDE SALARY SLIP"," ")))))))</f>
        <v>SALARY SLIP FOR LAST 3 MONTHS</v>
      </c>
      <c r="C18" s="45"/>
      <c r="D18" s="45"/>
      <c r="E18" s="45"/>
      <c r="F18" s="8"/>
      <c r="G18" s="16" t="s">
        <v>66</v>
      </c>
      <c r="H18" s="16"/>
      <c r="I18" s="16"/>
      <c r="J18" s="16"/>
      <c r="K18" s="15"/>
      <c r="L18" s="8"/>
      <c r="M18" s="8"/>
      <c r="N18" s="8"/>
      <c r="O18" s="8"/>
      <c r="P18" s="8"/>
      <c r="Q18" s="8"/>
      <c r="R18" s="8"/>
      <c r="S18" s="8"/>
    </row>
    <row r="19" spans="1:19" ht="15" x14ac:dyDescent="0.25">
      <c r="A19" s="8"/>
      <c r="B19" s="46" t="s">
        <v>74</v>
      </c>
      <c r="C19" s="46"/>
      <c r="D19" s="46"/>
      <c r="E19" s="46"/>
      <c r="F19" s="46"/>
      <c r="G19" s="16" t="s">
        <v>67</v>
      </c>
      <c r="H19" s="16"/>
      <c r="I19" s="16"/>
      <c r="J19" s="16"/>
      <c r="K19" s="15"/>
      <c r="L19" s="8"/>
      <c r="M19" s="8"/>
      <c r="N19" s="8"/>
      <c r="O19" s="8"/>
      <c r="P19" s="8"/>
      <c r="Q19" s="8"/>
      <c r="R19" s="8"/>
      <c r="S19" s="8"/>
    </row>
    <row r="21" spans="1:19" x14ac:dyDescent="0.25">
      <c r="A21" s="13"/>
      <c r="B21" s="13"/>
      <c r="C21" s="13"/>
      <c r="D21" s="13"/>
    </row>
    <row r="22" spans="1:19" x14ac:dyDescent="0.25">
      <c r="A22" s="13"/>
      <c r="B22" s="13"/>
      <c r="C22" s="13"/>
      <c r="D22" s="13"/>
      <c r="E22" s="13"/>
      <c r="F22" s="13"/>
      <c r="G22" s="13"/>
    </row>
    <row r="23" spans="1:19" x14ac:dyDescent="0.25">
      <c r="A23" s="13"/>
      <c r="B23" s="13"/>
      <c r="C23" s="13"/>
      <c r="D23" s="13"/>
      <c r="E23" s="13"/>
      <c r="F23" s="13"/>
      <c r="G23" s="13"/>
    </row>
    <row r="24" spans="1:19" x14ac:dyDescent="0.25">
      <c r="A24" s="13"/>
      <c r="B24" s="13" t="s">
        <v>45</v>
      </c>
      <c r="C24" s="14">
        <f>B8</f>
        <v>96000</v>
      </c>
      <c r="D24" s="13"/>
      <c r="E24" s="13"/>
      <c r="F24" s="13">
        <f>ABS(PV(F8/12,E8,G8))</f>
        <v>2193909.3653187645</v>
      </c>
      <c r="G24" s="13"/>
    </row>
    <row r="25" spans="1:19" x14ac:dyDescent="0.25">
      <c r="A25" s="13"/>
      <c r="B25" s="13" t="s">
        <v>46</v>
      </c>
      <c r="C25" s="14">
        <f>C8</f>
        <v>6520</v>
      </c>
      <c r="D25" s="13"/>
      <c r="E25" s="13"/>
      <c r="F25" s="13"/>
      <c r="G25" s="13"/>
    </row>
    <row r="26" spans="1:19" x14ac:dyDescent="0.25">
      <c r="A26" s="13"/>
      <c r="B26" s="13" t="s">
        <v>47</v>
      </c>
      <c r="C26" s="14">
        <f>D8</f>
        <v>12320</v>
      </c>
      <c r="D26" s="13"/>
      <c r="E26" s="13"/>
      <c r="F26" s="13"/>
      <c r="G26" s="13"/>
    </row>
    <row r="27" spans="1:19" x14ac:dyDescent="0.25">
      <c r="A27" s="13"/>
      <c r="B27" s="13" t="s">
        <v>48</v>
      </c>
      <c r="C27" s="14">
        <f>L8</f>
        <v>22042.843138587734</v>
      </c>
      <c r="D27" s="13"/>
      <c r="E27" s="13"/>
      <c r="F27" s="13"/>
      <c r="G27" s="13"/>
      <c r="I27" s="17"/>
      <c r="J27" s="17"/>
      <c r="K27" s="17"/>
      <c r="L27" s="17"/>
      <c r="M27" s="17"/>
      <c r="N27" s="17"/>
      <c r="O27" s="17"/>
    </row>
    <row r="28" spans="1:19" x14ac:dyDescent="0.25">
      <c r="A28" s="13"/>
      <c r="B28" s="13"/>
      <c r="C28" s="13"/>
      <c r="D28" s="13"/>
      <c r="E28" s="13"/>
      <c r="F28" s="13"/>
      <c r="G28" s="13"/>
      <c r="I28" s="17"/>
      <c r="J28" s="17"/>
      <c r="K28" s="49"/>
      <c r="L28" s="49"/>
      <c r="M28" s="49"/>
      <c r="N28" s="49"/>
      <c r="O28" s="17"/>
    </row>
    <row r="29" spans="1:19" x14ac:dyDescent="0.25">
      <c r="I29" s="17"/>
      <c r="J29" s="17"/>
      <c r="K29" s="49"/>
      <c r="L29" s="49"/>
      <c r="M29" s="49"/>
      <c r="N29" s="49"/>
      <c r="O29" s="17"/>
    </row>
    <row r="30" spans="1:19" x14ac:dyDescent="0.25">
      <c r="I30" s="17"/>
      <c r="J30" s="17"/>
      <c r="K30" s="18"/>
      <c r="L30" s="17"/>
      <c r="M30" s="18"/>
      <c r="N30" s="18"/>
      <c r="O30" s="17"/>
    </row>
    <row r="31" spans="1:19" ht="14.4" x14ac:dyDescent="0.3">
      <c r="I31" s="17"/>
      <c r="J31" s="17"/>
      <c r="K31" s="19"/>
      <c r="L31" s="17"/>
      <c r="M31" s="20"/>
      <c r="N31" s="21"/>
      <c r="O31" s="17"/>
    </row>
    <row r="32" spans="1:19" x14ac:dyDescent="0.25">
      <c r="I32" s="17"/>
      <c r="J32" s="17"/>
      <c r="K32" s="17"/>
      <c r="L32" s="17"/>
      <c r="M32" s="17"/>
      <c r="N32" s="17"/>
      <c r="O32" s="17"/>
    </row>
    <row r="33" spans="9:15" x14ac:dyDescent="0.25">
      <c r="I33" s="17"/>
      <c r="J33" s="17"/>
      <c r="K33" s="17"/>
      <c r="L33" s="17"/>
      <c r="M33" s="17"/>
      <c r="N33" s="17"/>
      <c r="O33" s="17"/>
    </row>
  </sheetData>
  <sheetProtection selectLockedCells="1"/>
  <mergeCells count="25">
    <mergeCell ref="A2:A8"/>
    <mergeCell ref="J5:J8"/>
    <mergeCell ref="B1:S2"/>
    <mergeCell ref="B3:S3"/>
    <mergeCell ref="K7:L7"/>
    <mergeCell ref="B5:I5"/>
    <mergeCell ref="B6:E6"/>
    <mergeCell ref="F6:G6"/>
    <mergeCell ref="H6:I6"/>
    <mergeCell ref="B18:E18"/>
    <mergeCell ref="B19:F19"/>
    <mergeCell ref="K5:L5"/>
    <mergeCell ref="K6:L6"/>
    <mergeCell ref="K28:N29"/>
    <mergeCell ref="I11:L12"/>
    <mergeCell ref="N14:R15"/>
    <mergeCell ref="G11:H11"/>
    <mergeCell ref="B10:E10"/>
    <mergeCell ref="B11:E11"/>
    <mergeCell ref="B12:E12"/>
    <mergeCell ref="B13:E13"/>
    <mergeCell ref="B14:E14"/>
    <mergeCell ref="B15:E15"/>
    <mergeCell ref="B16:E16"/>
    <mergeCell ref="B17:E17"/>
  </mergeCells>
  <pageMargins left="0.70866141732283472" right="0.70866141732283472" top="0.74803149606299213" bottom="0.74803149606299213" header="0.31496062992125984" footer="0.31496062992125984"/>
  <pageSetup scale="60" orientation="landscape" cellComments="atEnd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70AA378-0F76-4642-BF08-A92D696AC258}">
          <x14:formula1>
            <xm:f>'Ref Cell'!$A$3:$A$7</xm:f>
          </x14:formula1>
          <xm:sqref>F6:G6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12"/>
  <sheetViews>
    <sheetView workbookViewId="0">
      <selection activeCell="M10" sqref="M10"/>
    </sheetView>
  </sheetViews>
  <sheetFormatPr defaultRowHeight="13.8" x14ac:dyDescent="0.25"/>
  <cols>
    <col min="1" max="1" width="22.5" customWidth="1"/>
  </cols>
  <sheetData>
    <row r="1" spans="1:9" ht="14.4" x14ac:dyDescent="0.3">
      <c r="A1" s="66" t="s">
        <v>16</v>
      </c>
      <c r="B1" s="66"/>
      <c r="C1" s="66"/>
      <c r="D1" s="66"/>
      <c r="E1" s="66"/>
      <c r="F1" s="66"/>
      <c r="G1" s="66"/>
      <c r="H1" s="66"/>
      <c r="I1" s="66"/>
    </row>
    <row r="4" spans="1:9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</row>
    <row r="5" spans="1:9" x14ac:dyDescent="0.25">
      <c r="A5" s="67" t="s">
        <v>26</v>
      </c>
      <c r="B5" s="68" t="s">
        <v>27</v>
      </c>
      <c r="C5" s="68"/>
      <c r="D5" s="68"/>
      <c r="E5" s="68"/>
      <c r="F5" s="2">
        <v>5.25</v>
      </c>
      <c r="G5" s="2">
        <v>4.25</v>
      </c>
      <c r="H5" s="4">
        <f>F5+G5</f>
        <v>9.5</v>
      </c>
      <c r="I5" s="4">
        <f>H5+1</f>
        <v>10.5</v>
      </c>
    </row>
    <row r="6" spans="1:9" x14ac:dyDescent="0.25">
      <c r="A6" s="67"/>
      <c r="B6" s="2" t="s">
        <v>28</v>
      </c>
      <c r="C6" s="2" t="s">
        <v>29</v>
      </c>
      <c r="D6" s="2" t="s">
        <v>30</v>
      </c>
      <c r="E6" s="2" t="s">
        <v>31</v>
      </c>
      <c r="F6" s="2">
        <v>5.25</v>
      </c>
      <c r="G6" s="2">
        <v>4.3499999999999996</v>
      </c>
      <c r="H6" s="4">
        <f t="shared" ref="H6:H12" si="0">F6+G6</f>
        <v>9.6</v>
      </c>
      <c r="I6" s="4">
        <f t="shared" ref="I6:I12" si="1">H6+1</f>
        <v>10.6</v>
      </c>
    </row>
    <row r="7" spans="1:9" x14ac:dyDescent="0.25">
      <c r="A7" s="67"/>
      <c r="B7" s="2" t="s">
        <v>32</v>
      </c>
      <c r="C7" s="2" t="s">
        <v>33</v>
      </c>
      <c r="D7" s="2" t="s">
        <v>34</v>
      </c>
      <c r="E7" s="2" t="s">
        <v>35</v>
      </c>
      <c r="F7" s="2">
        <v>5.25</v>
      </c>
      <c r="G7" s="2">
        <v>5.35</v>
      </c>
      <c r="H7" s="4">
        <f t="shared" si="0"/>
        <v>10.6</v>
      </c>
      <c r="I7" s="4">
        <f t="shared" si="1"/>
        <v>11.6</v>
      </c>
    </row>
    <row r="8" spans="1:9" ht="43.2" customHeight="1" x14ac:dyDescent="0.25">
      <c r="A8" s="67"/>
      <c r="B8" s="2" t="s">
        <v>36</v>
      </c>
      <c r="C8" s="2" t="s">
        <v>37</v>
      </c>
      <c r="D8" s="2" t="s">
        <v>38</v>
      </c>
      <c r="E8" s="2" t="s">
        <v>39</v>
      </c>
      <c r="F8" s="2">
        <v>5.25</v>
      </c>
      <c r="G8" s="2">
        <v>6.35</v>
      </c>
      <c r="H8" s="4">
        <f t="shared" si="0"/>
        <v>11.6</v>
      </c>
      <c r="I8" s="4">
        <f t="shared" si="1"/>
        <v>12.6</v>
      </c>
    </row>
    <row r="9" spans="1:9" x14ac:dyDescent="0.25">
      <c r="A9" s="69" t="s">
        <v>40</v>
      </c>
      <c r="B9" s="70" t="s">
        <v>27</v>
      </c>
      <c r="C9" s="70"/>
      <c r="D9" s="70"/>
      <c r="E9" s="70"/>
      <c r="F9" s="3">
        <v>5.25</v>
      </c>
      <c r="G9" s="3">
        <v>5.25</v>
      </c>
      <c r="H9" s="5">
        <f t="shared" si="0"/>
        <v>10.5</v>
      </c>
      <c r="I9" s="5">
        <f t="shared" si="1"/>
        <v>11.5</v>
      </c>
    </row>
    <row r="10" spans="1:9" x14ac:dyDescent="0.25">
      <c r="A10" s="69"/>
      <c r="B10" s="3" t="s">
        <v>28</v>
      </c>
      <c r="C10" s="3" t="s">
        <v>29</v>
      </c>
      <c r="D10" s="3" t="s">
        <v>30</v>
      </c>
      <c r="E10" s="3" t="s">
        <v>31</v>
      </c>
      <c r="F10" s="3">
        <v>5.25</v>
      </c>
      <c r="G10" s="3">
        <v>5.35</v>
      </c>
      <c r="H10" s="5">
        <f t="shared" si="0"/>
        <v>10.6</v>
      </c>
      <c r="I10" s="5">
        <f t="shared" si="1"/>
        <v>11.6</v>
      </c>
    </row>
    <row r="11" spans="1:9" x14ac:dyDescent="0.25">
      <c r="A11" s="69"/>
      <c r="B11" s="3" t="s">
        <v>32</v>
      </c>
      <c r="C11" s="3" t="s">
        <v>33</v>
      </c>
      <c r="D11" s="3" t="s">
        <v>34</v>
      </c>
      <c r="E11" s="3" t="s">
        <v>35</v>
      </c>
      <c r="F11" s="3">
        <v>5.25</v>
      </c>
      <c r="G11" s="3">
        <v>6.35</v>
      </c>
      <c r="H11" s="5">
        <f t="shared" si="0"/>
        <v>11.6</v>
      </c>
      <c r="I11" s="5">
        <f t="shared" si="1"/>
        <v>12.6</v>
      </c>
    </row>
    <row r="12" spans="1:9" ht="59.4" customHeight="1" x14ac:dyDescent="0.25">
      <c r="A12" s="69"/>
      <c r="B12" s="3" t="s">
        <v>36</v>
      </c>
      <c r="C12" s="3" t="s">
        <v>37</v>
      </c>
      <c r="D12" s="3" t="s">
        <v>38</v>
      </c>
      <c r="E12" s="3" t="s">
        <v>39</v>
      </c>
      <c r="F12" s="3">
        <v>5.25</v>
      </c>
      <c r="G12" s="3">
        <v>7.35</v>
      </c>
      <c r="H12" s="5">
        <f t="shared" si="0"/>
        <v>12.6</v>
      </c>
      <c r="I12" s="5">
        <f t="shared" si="1"/>
        <v>13.6</v>
      </c>
    </row>
  </sheetData>
  <mergeCells count="5">
    <mergeCell ref="A1:I1"/>
    <mergeCell ref="A5:A8"/>
    <mergeCell ref="B5:E5"/>
    <mergeCell ref="A9:A12"/>
    <mergeCell ref="B9:E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3:C28"/>
  <sheetViews>
    <sheetView zoomScale="90" zoomScaleNormal="90" workbookViewId="0">
      <selection activeCell="F15" sqref="F15"/>
    </sheetView>
  </sheetViews>
  <sheetFormatPr defaultRowHeight="13.8" x14ac:dyDescent="0.25"/>
  <cols>
    <col min="1" max="1" width="9.3984375" customWidth="1"/>
    <col min="2" max="2" width="10.3984375" customWidth="1"/>
    <col min="13" max="17" width="8"/>
  </cols>
  <sheetData>
    <row r="3" spans="1:2" ht="65.25" customHeight="1" x14ac:dyDescent="0.25">
      <c r="A3" t="s">
        <v>3</v>
      </c>
    </row>
    <row r="4" spans="1:2" x14ac:dyDescent="0.25">
      <c r="A4" t="s">
        <v>0</v>
      </c>
    </row>
    <row r="5" spans="1:2" x14ac:dyDescent="0.25">
      <c r="A5" t="s">
        <v>4</v>
      </c>
    </row>
    <row r="6" spans="1:2" ht="20.399999999999999" customHeight="1" x14ac:dyDescent="0.25">
      <c r="A6" t="s">
        <v>1</v>
      </c>
    </row>
    <row r="7" spans="1:2" x14ac:dyDescent="0.25">
      <c r="A7" t="s">
        <v>2</v>
      </c>
    </row>
    <row r="9" spans="1:2" ht="31.8" customHeight="1" x14ac:dyDescent="0.25">
      <c r="B9" t="s">
        <v>3</v>
      </c>
    </row>
    <row r="10" spans="1:2" ht="35.4" customHeight="1" x14ac:dyDescent="0.25">
      <c r="B10" t="s">
        <v>5</v>
      </c>
    </row>
    <row r="11" spans="1:2" x14ac:dyDescent="0.25">
      <c r="B11" t="s">
        <v>6</v>
      </c>
    </row>
    <row r="12" spans="1:2" x14ac:dyDescent="0.25">
      <c r="B12" t="s">
        <v>13</v>
      </c>
    </row>
    <row r="13" spans="1:2" x14ac:dyDescent="0.25">
      <c r="B13" t="s">
        <v>12</v>
      </c>
    </row>
    <row r="14" spans="1:2" x14ac:dyDescent="0.25">
      <c r="B14" t="s">
        <v>7</v>
      </c>
    </row>
    <row r="15" spans="1:2" x14ac:dyDescent="0.25">
      <c r="B15" t="s">
        <v>8</v>
      </c>
    </row>
    <row r="16" spans="1:2" x14ac:dyDescent="0.25">
      <c r="B16" t="s">
        <v>9</v>
      </c>
    </row>
    <row r="17" spans="1:3" x14ac:dyDescent="0.25">
      <c r="B17" t="s">
        <v>10</v>
      </c>
    </row>
    <row r="18" spans="1:3" x14ac:dyDescent="0.25">
      <c r="B18" t="s">
        <v>11</v>
      </c>
    </row>
    <row r="22" spans="1:3" ht="15.6" customHeight="1" x14ac:dyDescent="0.25">
      <c r="A22" s="9" t="e">
        <f>#REF!*1.18%</f>
        <v>#REF!</v>
      </c>
      <c r="B22" s="9" t="e">
        <f>#REF!-#REF!-#REF!</f>
        <v>#REF!</v>
      </c>
    </row>
    <row r="24" spans="1:3" x14ac:dyDescent="0.25">
      <c r="C24" t="s">
        <v>3</v>
      </c>
    </row>
    <row r="25" spans="1:3" x14ac:dyDescent="0.25">
      <c r="C25" t="s">
        <v>18</v>
      </c>
    </row>
    <row r="26" spans="1:3" x14ac:dyDescent="0.25">
      <c r="C26" t="s">
        <v>19</v>
      </c>
    </row>
    <row r="27" spans="1:3" x14ac:dyDescent="0.25">
      <c r="C27" t="s">
        <v>20</v>
      </c>
    </row>
    <row r="28" spans="1:3" x14ac:dyDescent="0.25">
      <c r="C28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Calculator</vt:lpstr>
      <vt:lpstr>CIC</vt:lpstr>
      <vt:lpstr>Ref Cell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2025-12-28T14:27:13Z</dcterms:modified>
</cp:coreProperties>
</file>